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<sst xmlns="http://schemas.openxmlformats.org/spreadsheetml/2006/main" count="639" uniqueCount="303">
  <si>
    <t/>
  </si>
  <si>
    <t xml:space="preserve">Bill of Materials </t>
  </si>
  <si>
    <t>BOM_V2.0_NEW_Schematic1_1_2026-02-03</t>
  </si>
  <si>
    <t>Project Title：</t>
  </si>
  <si>
    <t>ZYNQ7020核心板</t>
  </si>
  <si>
    <t>Variant:</t>
  </si>
  <si>
    <t xml:space="preserve"> </t>
  </si>
  <si>
    <t>Report Time：</t>
  </si>
  <si>
    <t>2026年2月3日 22:15:10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</si>
  <si>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</si>
  <si>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</si>
  <si>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</si>
  <si>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</si>
  <si>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</si>
  <si>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</si>
  <si>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</si>
  <si>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</si>
  <si>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</si>
  <si>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</si>
  <si>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</si>
  <si>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</si>
  <si>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100nF</t>
  </si>
  <si>
    <t>C1, C15, C16, C17, C18, C19, C20, C21, C22, C23, C24, C25, C26, C28, C30, C48, C53, C58, C59, C60, C61, C62, C63, C64, C65, C66, C67, C68, C69, C70, C71, C73, C74, C75, C76, C94, C96, C97, C98, C99, C100, C101, C102, C103, C104, C105, C106, C107, C108, C109, C110, C111, C112, C113, C114, C115, C116, C117, C118, C119, C120, C121, C122</t>
  </si>
  <si>
    <t>C0402</t>
  </si>
  <si>
    <t>CL05B104KO5NNNC</t>
  </si>
  <si>
    <t>SAMSUNG(三星)</t>
  </si>
  <si>
    <t>C1525</t>
  </si>
  <si>
    <t>LCSC</t>
  </si>
  <si>
    <t>3.3nF</t>
  </si>
  <si>
    <t>C2, C3, C9, C10</t>
  </si>
  <si>
    <t>C0603</t>
  </si>
  <si>
    <t>CL10B332KB8NNNC</t>
  </si>
  <si>
    <t>C1613</t>
  </si>
  <si>
    <t>18pF</t>
  </si>
  <si>
    <t>C4, C27</t>
  </si>
  <si>
    <t>CL10C180JB8NNNC</t>
  </si>
  <si>
    <t>C1647</t>
  </si>
  <si>
    <t>22uF</t>
  </si>
  <si>
    <t>C5, C6, C7, C8, C11, C12, C13, C14</t>
  </si>
  <si>
    <t>C0805</t>
  </si>
  <si>
    <t>FCC0805X226M250FT</t>
  </si>
  <si>
    <t>FOJAN(富捷)</t>
  </si>
  <si>
    <t>C7419435</t>
  </si>
  <si>
    <t>10uF</t>
  </si>
  <si>
    <t>C29, C49, C51, C92</t>
  </si>
  <si>
    <t>CL10A106MA8NRNC</t>
  </si>
  <si>
    <t>C96446</t>
  </si>
  <si>
    <t>C36, C37, C44, C46, C47, C50, C54, C56, C57, C80, C81, C82, C83, C84, C93, C95</t>
  </si>
  <si>
    <t>CGA0603X7R104K500JT</t>
  </si>
  <si>
    <t>HRE(芯声)</t>
  </si>
  <si>
    <t>C6119867</t>
  </si>
  <si>
    <t>10nF</t>
  </si>
  <si>
    <t>C42, C43</t>
  </si>
  <si>
    <t>CC0603KRX7R9BB103</t>
  </si>
  <si>
    <t>YAGEO(国巨)</t>
  </si>
  <si>
    <t>C100042</t>
  </si>
  <si>
    <t>10pF</t>
  </si>
  <si>
    <t>C45</t>
  </si>
  <si>
    <t>CC0603JRNPO9BN100</t>
  </si>
  <si>
    <t>C106245</t>
  </si>
  <si>
    <t>C52, C72, C77, C78, C79, C85, C86, C87, C88, C89, C90, C91</t>
  </si>
  <si>
    <t>C0402_2</t>
  </si>
  <si>
    <t>2.2uF</t>
  </si>
  <si>
    <t>C55</t>
  </si>
  <si>
    <t>CL10A225KO8NNNC</t>
  </si>
  <si>
    <t>C23630</t>
  </si>
  <si>
    <t>1nF</t>
  </si>
  <si>
    <t>C123</t>
  </si>
  <si>
    <t>C1206</t>
  </si>
  <si>
    <t>1206B102K202NT</t>
  </si>
  <si>
    <t>FH(风华)</t>
  </si>
  <si>
    <t>C9196</t>
  </si>
  <si>
    <t>TF PUSH</t>
  </si>
  <si>
    <t>CARD1</t>
  </si>
  <si>
    <t>TF-SMD_TF-PUSH</t>
  </si>
  <si>
    <t>SHOU HAN(首韩)</t>
  </si>
  <si>
    <t>C393941</t>
  </si>
  <si>
    <t>PZ2.54-2*20</t>
  </si>
  <si>
    <t>CN1, CN2</t>
  </si>
  <si>
    <t>HDR-TH_40P-P2.54-V-M-R2-C20-S2.54</t>
  </si>
  <si>
    <t>ZHOURI(洲日)</t>
  </si>
  <si>
    <t>C5224014</t>
  </si>
  <si>
    <t>HX PZ2.54-1x4P WT</t>
  </si>
  <si>
    <t>H1, H2</t>
  </si>
  <si>
    <t>CONN-SMD_HX-PZ2.54-1X4P-WT</t>
  </si>
  <si>
    <t>hanxia(韩下)</t>
  </si>
  <si>
    <t>C46061677</t>
  </si>
  <si>
    <t>TS-1101-C-W</t>
  </si>
  <si>
    <t>KEY1, KEY2, PS_RST</t>
  </si>
  <si>
    <t>SW-SMD_L6.0-W3.3-LS8.0</t>
  </si>
  <si>
    <t>XKB Connectivity(中国星坤)</t>
  </si>
  <si>
    <t>C318938</t>
  </si>
  <si>
    <t>NFM21PC104R1E3D</t>
  </si>
  <si>
    <t>L1, L2, L4, L5</t>
  </si>
  <si>
    <t>CAP-SMD_4P-L2.0-W1.25</t>
  </si>
  <si>
    <t>muRata(村田)</t>
  </si>
  <si>
    <t>C86150</t>
  </si>
  <si>
    <t>BLM18PG121SN1D</t>
  </si>
  <si>
    <t>L3, L6, L7</t>
  </si>
  <si>
    <t>L0603</t>
  </si>
  <si>
    <t>C14709</t>
  </si>
  <si>
    <t>2.2uH</t>
  </si>
  <si>
    <t>L8</t>
  </si>
  <si>
    <t>IND-SMD_L2.5-W2.0_WPN252012H</t>
  </si>
  <si>
    <t>WPN252012H2R2MT</t>
  </si>
  <si>
    <t>Sunlord(顺络)</t>
  </si>
  <si>
    <t>C98350</t>
  </si>
  <si>
    <t>LTST-C190KGKT</t>
  </si>
  <si>
    <t>LED1, LED2, LED3</t>
  </si>
  <si>
    <t>LED_0603</t>
  </si>
  <si>
    <t>LITEON(光宝)</t>
  </si>
  <si>
    <t>C125094</t>
  </si>
  <si>
    <t>4.7kΩ</t>
  </si>
  <si>
    <t>R1, R2, R41</t>
  </si>
  <si>
    <t>R0402_NEW</t>
  </si>
  <si>
    <t>0402WGF4701TCE</t>
  </si>
  <si>
    <t>UNI-ROYAL(厚声)</t>
  </si>
  <si>
    <t>C25900</t>
  </si>
  <si>
    <t>1kΩ</t>
  </si>
  <si>
    <t>R3, R6</t>
  </si>
  <si>
    <t>RC0402FR-071KL</t>
  </si>
  <si>
    <t>C106235</t>
  </si>
  <si>
    <t>10kΩ</t>
  </si>
  <si>
    <t>R4, R5, R11, R12, R30, R31, R32, R62, R75, R76, R84, R85</t>
  </si>
  <si>
    <t>R0603</t>
  </si>
  <si>
    <t>FRC0603F1002TS</t>
  </si>
  <si>
    <t>C2906982</t>
  </si>
  <si>
    <t>100kΩ</t>
  </si>
  <si>
    <t>R7</t>
  </si>
  <si>
    <t>0603WAF1003T5E</t>
  </si>
  <si>
    <t>C25803</t>
  </si>
  <si>
    <t>27kΩ</t>
  </si>
  <si>
    <t>R8</t>
  </si>
  <si>
    <t>FRC0603F2702TS</t>
  </si>
  <si>
    <t>C2930084</t>
  </si>
  <si>
    <t>91kΩ</t>
  </si>
  <si>
    <t>R9, R13</t>
  </si>
  <si>
    <t>FRC0603F9102TS</t>
  </si>
  <si>
    <t>C2907077</t>
  </si>
  <si>
    <t>120kΩ</t>
  </si>
  <si>
    <t>R10</t>
  </si>
  <si>
    <t>FRC0603F1203TS</t>
  </si>
  <si>
    <t>C2906987</t>
  </si>
  <si>
    <t>82kΩ</t>
  </si>
  <si>
    <t>R14</t>
  </si>
  <si>
    <t>FRC0603F8202TS</t>
  </si>
  <si>
    <t>C2907072</t>
  </si>
  <si>
    <t>24kΩ</t>
  </si>
  <si>
    <t>R15</t>
  </si>
  <si>
    <t>0603WAF2402T5E</t>
  </si>
  <si>
    <t>C23352</t>
  </si>
  <si>
    <t>75kΩ</t>
  </si>
  <si>
    <t>R16</t>
  </si>
  <si>
    <t>0603WAF7502T5E</t>
  </si>
  <si>
    <t>C23242</t>
  </si>
  <si>
    <t>R17, R35, R44, R45, R46, R47, R49, R51, R52, R53</t>
  </si>
  <si>
    <t>R0402_1</t>
  </si>
  <si>
    <t>240Ω</t>
  </si>
  <si>
    <t>R18</t>
  </si>
  <si>
    <t>R0402</t>
  </si>
  <si>
    <t>0402WGF2400TCE</t>
  </si>
  <si>
    <t>C25094</t>
  </si>
  <si>
    <t>80.6kΩ</t>
  </si>
  <si>
    <t>R19, R20, R22</t>
  </si>
  <si>
    <t>0402WGF8062TCE</t>
  </si>
  <si>
    <t>C25921</t>
  </si>
  <si>
    <t>R21, R79, R80</t>
  </si>
  <si>
    <t>0603WAF4701T5E</t>
  </si>
  <si>
    <t>C23162</t>
  </si>
  <si>
    <t>R25, R26, R77, R78, R82</t>
  </si>
  <si>
    <t>FRC0603F1001TS</t>
  </si>
  <si>
    <t>C2907002</t>
  </si>
  <si>
    <t>20Ω</t>
  </si>
  <si>
    <t>R27</t>
  </si>
  <si>
    <t>FRC0603F20R0TS</t>
  </si>
  <si>
    <t>C2907012</t>
  </si>
  <si>
    <t>R28, R33, R42, R43, R55, R59, R60, R61</t>
  </si>
  <si>
    <t>RC0402FR-0710KL</t>
  </si>
  <si>
    <t>C60490</t>
  </si>
  <si>
    <t>470Ω</t>
  </si>
  <si>
    <t>R29</t>
  </si>
  <si>
    <t>0603WAF4700T5E</t>
  </si>
  <si>
    <t>C23179</t>
  </si>
  <si>
    <t>R34</t>
  </si>
  <si>
    <t>1MΩ</t>
  </si>
  <si>
    <t>R36</t>
  </si>
  <si>
    <t>RCA031MFLF</t>
  </si>
  <si>
    <t>HKR(香港电阻)</t>
  </si>
  <si>
    <t>C22356470</t>
  </si>
  <si>
    <t>R37, R38, R54</t>
  </si>
  <si>
    <t>33Ω</t>
  </si>
  <si>
    <t>R39</t>
  </si>
  <si>
    <t>FRC0402F33R0TS</t>
  </si>
  <si>
    <t>C2906868</t>
  </si>
  <si>
    <t>R40</t>
  </si>
  <si>
    <t>1.5kΩ</t>
  </si>
  <si>
    <t>R48</t>
  </si>
  <si>
    <t>FRC0402F1501TS</t>
  </si>
  <si>
    <t>C2933074</t>
  </si>
  <si>
    <t>2.49kΩ</t>
  </si>
  <si>
    <t>R50</t>
  </si>
  <si>
    <t>FRC0402F2491TS</t>
  </si>
  <si>
    <t>C2933083</t>
  </si>
  <si>
    <t>0Ω</t>
  </si>
  <si>
    <t>R56</t>
  </si>
  <si>
    <t>FRC0402P000 TS</t>
  </si>
  <si>
    <t>C2906877</t>
  </si>
  <si>
    <t>510Ω</t>
  </si>
  <si>
    <t>R57, R58</t>
  </si>
  <si>
    <t>FRC0603J511 TS</t>
  </si>
  <si>
    <t>C2907179</t>
  </si>
  <si>
    <t>20kΩ</t>
  </si>
  <si>
    <t>R73, R74</t>
  </si>
  <si>
    <t>0603WAF2002T5E</t>
  </si>
  <si>
    <t>C4184</t>
  </si>
  <si>
    <t>2kΩ</t>
  </si>
  <si>
    <t>R81</t>
  </si>
  <si>
    <t>0603WAF2001T5E</t>
  </si>
  <si>
    <t>C22975</t>
  </si>
  <si>
    <t>R83</t>
  </si>
  <si>
    <t>0603WAF0000T5E</t>
  </si>
  <si>
    <t>C21189</t>
  </si>
  <si>
    <t>HR911130A</t>
  </si>
  <si>
    <t>RJ2</t>
  </si>
  <si>
    <t>RJ45-TH_HR911130A</t>
  </si>
  <si>
    <t>HANRUN(汉仁)</t>
  </si>
  <si>
    <t>C54408</t>
  </si>
  <si>
    <t>DSHP02TSGET</t>
  </si>
  <si>
    <t>SW1</t>
  </si>
  <si>
    <t>SW-SMD_4P_DSHP02TSGET</t>
  </si>
  <si>
    <t>YE</t>
  </si>
  <si>
    <t>C40735</t>
  </si>
  <si>
    <t>TPS82130SILR</t>
  </si>
  <si>
    <t>U1, U2, U3, U4</t>
  </si>
  <si>
    <t>USIP-8_L3.0-W2.8-P0.65-TL-EP</t>
  </si>
  <si>
    <t>TI(德州仪器)</t>
  </si>
  <si>
    <t>C473914</t>
  </si>
  <si>
    <t>MT41K256M16TW-107 IT:P</t>
  </si>
  <si>
    <t>U5</t>
  </si>
  <si>
    <t>FBGA-96_L14.0-W8.0-R16-C6-P0.80-TL</t>
  </si>
  <si>
    <t>micron(镁光)</t>
  </si>
  <si>
    <t>C367428</t>
  </si>
  <si>
    <t>RTL8211E-VL</t>
  </si>
  <si>
    <t>U6</t>
  </si>
  <si>
    <t>QFN-48_L6.0-W6.0-P0.40-BL-EP3.8</t>
  </si>
  <si>
    <t>XC7Z020-1CLG400C</t>
  </si>
  <si>
    <t>U7</t>
  </si>
  <si>
    <t>FBGA-400_L17.0-W17.0-R20-C20-P0.80-TL</t>
  </si>
  <si>
    <t>XILINX(赛灵思)</t>
  </si>
  <si>
    <t>C2843417</t>
  </si>
  <si>
    <t>25M</t>
  </si>
  <si>
    <t>U8</t>
  </si>
  <si>
    <t>OSC-SMD_4P-L3.2-W2.5-BL_1</t>
  </si>
  <si>
    <t>C9900112256</t>
  </si>
  <si>
    <t>W25Q128JVEIQ</t>
  </si>
  <si>
    <t>U10</t>
  </si>
  <si>
    <t>WSON-8_L6.0-W8.0-P1.27-BL-EP</t>
  </si>
  <si>
    <t>WINBOND(华邦)</t>
  </si>
  <si>
    <t>C401662</t>
  </si>
  <si>
    <t>WS2812B-V5</t>
  </si>
  <si>
    <t>U11</t>
  </si>
  <si>
    <t>LED-SMD_4P-L5.0-W5.0-TL_WS2812B-B</t>
  </si>
  <si>
    <t>C691873</t>
  </si>
  <si>
    <t>TXS02612RTWR</t>
  </si>
  <si>
    <t>U12</t>
  </si>
  <si>
    <t>WQFN-24_L4.0-W4.0-P0.50-TL-EP2.5</t>
  </si>
  <si>
    <t>C140276</t>
  </si>
  <si>
    <t>CH343P</t>
  </si>
  <si>
    <t>U13</t>
  </si>
  <si>
    <t>TQFN-16_L3.0-W3.0-P0.50-BL-EP1.7</t>
  </si>
  <si>
    <t>WCH(南京沁恒)</t>
  </si>
  <si>
    <t>C2846043</t>
  </si>
  <si>
    <t>typec</t>
  </si>
  <si>
    <t>USB1</t>
  </si>
  <si>
    <t>USB-C-SMD_KH-TYPE-C-16P</t>
  </si>
  <si>
    <t>C9900016956</t>
  </si>
  <si>
    <t>33.3333MHz</t>
  </si>
  <si>
    <t>X1</t>
  </si>
  <si>
    <t>OSC-SMD_4P-L3.2-W2.5-BL</t>
  </si>
  <si>
    <t>OT2EL89CJI-111YLC-33.3333M</t>
  </si>
  <si>
    <t>YXC(扬兴晶振)</t>
  </si>
  <si>
    <t>C19272769</t>
  </si>
  <si>
    <t>50MHz</t>
  </si>
  <si>
    <t>X2</t>
  </si>
  <si>
    <t>OSC-SMD_4P-L2.5-W2.0-BL</t>
  </si>
  <si>
    <t>OT2EL4C4JI-111OLP-50M</t>
  </si>
  <si>
    <t>C5203552</t>
  </si>
  <si>
    <t>Project Title</t>
  </si>
  <si>
    <t>Borard Title</t>
  </si>
  <si>
    <t>V2.0</t>
  </si>
  <si>
    <t>Schematic Title</t>
  </si>
  <si>
    <t>Schematic1_1</t>
  </si>
  <si>
    <t>PCB Title</t>
  </si>
  <si>
    <t>Variant Name</t>
  </si>
  <si>
    <t>Total Quantity</t>
  </si>
  <si>
    <t>Report Time</t>
  </si>
  <si>
    <t>22:15:10</t>
  </si>
  <si>
    <t>Report Date</t>
  </si>
  <si>
    <t>2026年2月3日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</si>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</sst>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63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4</v>
      </c>
      <c r="C8" s="9" t="s">
        <v>28</v>
      </c>
      <c r="D8" s="9" t="s">
        <v>29</v>
      </c>
      <c r="E8" s="9" t="s">
        <v>30</v>
      </c>
      <c r="F8" s="9" t="s">
        <v>28</v>
      </c>
      <c r="G8" s="9" t="s">
        <v>31</v>
      </c>
      <c r="H8" s="9" t="s">
        <v>25</v>
      </c>
      <c r="I8" s="9" t="s">
        <v>32</v>
      </c>
      <c r="J8" s="9" t="s">
        <v>27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2</v>
      </c>
      <c r="C9" s="9" t="s">
        <v>33</v>
      </c>
      <c r="D9" s="9" t="s">
        <v>34</v>
      </c>
      <c r="E9" s="9" t="s">
        <v>30</v>
      </c>
      <c r="F9" s="9" t="s">
        <v>33</v>
      </c>
      <c r="G9" s="9" t="s">
        <v>35</v>
      </c>
      <c r="H9" s="9" t="s">
        <v>25</v>
      </c>
      <c r="I9" s="9" t="s">
        <v>36</v>
      </c>
      <c r="J9" s="9" t="s">
        <v>27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8</v>
      </c>
      <c r="C10" s="9" t="s">
        <v>37</v>
      </c>
      <c r="D10" s="9" t="s">
        <v>38</v>
      </c>
      <c r="E10" s="9" t="s">
        <v>39</v>
      </c>
      <c r="F10" s="9" t="s">
        <v>37</v>
      </c>
      <c r="G10" s="9" t="s">
        <v>40</v>
      </c>
      <c r="H10" s="9" t="s">
        <v>41</v>
      </c>
      <c r="I10" s="9" t="s">
        <v>42</v>
      </c>
      <c r="J10" s="9" t="s">
        <v>27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4</v>
      </c>
      <c r="C11" s="9" t="s">
        <v>43</v>
      </c>
      <c r="D11" s="9" t="s">
        <v>44</v>
      </c>
      <c r="E11" s="9" t="s">
        <v>30</v>
      </c>
      <c r="F11" s="9" t="s">
        <v>43</v>
      </c>
      <c r="G11" s="9" t="s">
        <v>45</v>
      </c>
      <c r="H11" s="9" t="s">
        <v>25</v>
      </c>
      <c r="I11" s="9" t="s">
        <v>46</v>
      </c>
      <c r="J11" s="9" t="s">
        <v>27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16</v>
      </c>
      <c r="C12" s="9" t="s">
        <v>21</v>
      </c>
      <c r="D12" s="9" t="s">
        <v>47</v>
      </c>
      <c r="E12" s="9" t="s">
        <v>30</v>
      </c>
      <c r="F12" s="9" t="s">
        <v>21</v>
      </c>
      <c r="G12" s="9" t="s">
        <v>48</v>
      </c>
      <c r="H12" s="9" t="s">
        <v>49</v>
      </c>
      <c r="I12" s="9" t="s">
        <v>50</v>
      </c>
      <c r="J12" s="9" t="s">
        <v>27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2</v>
      </c>
      <c r="C13" s="9" t="s">
        <v>51</v>
      </c>
      <c r="D13" s="9" t="s">
        <v>52</v>
      </c>
      <c r="E13" s="9" t="s">
        <v>30</v>
      </c>
      <c r="F13" s="9" t="s">
        <v>51</v>
      </c>
      <c r="G13" s="9" t="s">
        <v>53</v>
      </c>
      <c r="H13" s="9" t="s">
        <v>54</v>
      </c>
      <c r="I13" s="9" t="s">
        <v>55</v>
      </c>
      <c r="J13" s="9" t="s">
        <v>27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1</v>
      </c>
      <c r="C14" s="9" t="s">
        <v>56</v>
      </c>
      <c r="D14" s="9" t="s">
        <v>57</v>
      </c>
      <c r="E14" s="9" t="s">
        <v>30</v>
      </c>
      <c r="F14" s="9" t="s">
        <v>56</v>
      </c>
      <c r="G14" s="9" t="s">
        <v>58</v>
      </c>
      <c r="H14" s="9" t="s">
        <v>54</v>
      </c>
      <c r="I14" s="9" t="s">
        <v>59</v>
      </c>
      <c r="J14" s="9" t="s">
        <v>27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12</v>
      </c>
      <c r="C15" s="9" t="s">
        <v>21</v>
      </c>
      <c r="D15" s="9" t="s">
        <v>60</v>
      </c>
      <c r="E15" s="9" t="s">
        <v>61</v>
      </c>
      <c r="F15" s="9" t="s">
        <v>21</v>
      </c>
      <c r="G15" s="9" t="s">
        <v>24</v>
      </c>
      <c r="H15" s="9" t="s">
        <v>25</v>
      </c>
      <c r="I15" s="9" t="s">
        <v>26</v>
      </c>
      <c r="J15" s="9" t="s">
        <v>27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1</v>
      </c>
      <c r="C16" s="9" t="s">
        <v>62</v>
      </c>
      <c r="D16" s="9" t="s">
        <v>63</v>
      </c>
      <c r="E16" s="9" t="s">
        <v>30</v>
      </c>
      <c r="F16" s="9" t="s">
        <v>62</v>
      </c>
      <c r="G16" s="9" t="s">
        <v>64</v>
      </c>
      <c r="H16" s="9" t="s">
        <v>25</v>
      </c>
      <c r="I16" s="9" t="s">
        <v>65</v>
      </c>
      <c r="J16" s="9" t="s">
        <v>27</v>
      </c>
      <c r="K16" s="9" t="s">
        <v>0</v>
      </c>
      <c r="L16" s="10">
        <f>B16*K16</f>
      </c>
    </row>
    <row r="17" spans="1:12" x14ac:dyDescent="0.25">
      <c r="A17" s="8">
        <f>ROW()-6</f>
      </c>
      <c r="B17" s="9">
        <v>1</v>
      </c>
      <c r="C17" s="9" t="s">
        <v>66</v>
      </c>
      <c r="D17" s="9" t="s">
        <v>67</v>
      </c>
      <c r="E17" s="9" t="s">
        <v>68</v>
      </c>
      <c r="F17" s="9" t="s">
        <v>66</v>
      </c>
      <c r="G17" s="9" t="s">
        <v>69</v>
      </c>
      <c r="H17" s="9" t="s">
        <v>70</v>
      </c>
      <c r="I17" s="9" t="s">
        <v>71</v>
      </c>
      <c r="J17" s="9" t="s">
        <v>27</v>
      </c>
      <c r="K17" s="9" t="s">
        <v>0</v>
      </c>
      <c r="L17" s="10">
        <f>B17*K17</f>
      </c>
    </row>
    <row r="18" spans="1:12" x14ac:dyDescent="0.25">
      <c r="A18" s="8">
        <f>ROW()-6</f>
      </c>
      <c r="B18" s="9">
        <v>1</v>
      </c>
      <c r="C18" s="9" t="s">
        <v>72</v>
      </c>
      <c r="D18" s="9" t="s">
        <v>73</v>
      </c>
      <c r="E18" s="9" t="s">
        <v>74</v>
      </c>
      <c r="F18" s="9" t="s">
        <v>0</v>
      </c>
      <c r="G18" s="9" t="s">
        <v>72</v>
      </c>
      <c r="H18" s="9" t="s">
        <v>75</v>
      </c>
      <c r="I18" s="9" t="s">
        <v>76</v>
      </c>
      <c r="J18" s="9" t="s">
        <v>27</v>
      </c>
      <c r="K18" s="9" t="s">
        <v>0</v>
      </c>
      <c r="L18" s="10">
        <f>B18*K18</f>
      </c>
    </row>
    <row r="19" spans="1:12" x14ac:dyDescent="0.25">
      <c r="A19" s="8">
        <f>ROW()-6</f>
      </c>
      <c r="B19" s="9">
        <v>2</v>
      </c>
      <c r="C19" s="9" t="s">
        <v>77</v>
      </c>
      <c r="D19" s="9" t="s">
        <v>78</v>
      </c>
      <c r="E19" s="9" t="s">
        <v>79</v>
      </c>
      <c r="F19" s="9" t="s">
        <v>0</v>
      </c>
      <c r="G19" s="9" t="s">
        <v>77</v>
      </c>
      <c r="H19" s="9" t="s">
        <v>80</v>
      </c>
      <c r="I19" s="9" t="s">
        <v>81</v>
      </c>
      <c r="J19" s="9" t="s">
        <v>27</v>
      </c>
      <c r="K19" s="9" t="s">
        <v>0</v>
      </c>
      <c r="L19" s="10">
        <f>B19*K19</f>
      </c>
    </row>
    <row r="20" spans="1:12" x14ac:dyDescent="0.25">
      <c r="A20" s="8">
        <f>ROW()-6</f>
      </c>
      <c r="B20" s="9">
        <v>2</v>
      </c>
      <c r="C20" s="9" t="s">
        <v>82</v>
      </c>
      <c r="D20" s="9" t="s">
        <v>83</v>
      </c>
      <c r="E20" s="9" t="s">
        <v>84</v>
      </c>
      <c r="F20" s="9" t="s">
        <v>0</v>
      </c>
      <c r="G20" s="9" t="s">
        <v>82</v>
      </c>
      <c r="H20" s="9" t="s">
        <v>85</v>
      </c>
      <c r="I20" s="9" t="s">
        <v>86</v>
      </c>
      <c r="J20" s="9" t="s">
        <v>27</v>
      </c>
      <c r="K20" s="9" t="s">
        <v>0</v>
      </c>
      <c r="L20" s="10">
        <f>B20*K20</f>
      </c>
    </row>
    <row r="21" spans="1:12" x14ac:dyDescent="0.25">
      <c r="A21" s="8">
        <f>ROW()-6</f>
      </c>
      <c r="B21" s="9">
        <v>3</v>
      </c>
      <c r="C21" s="9" t="s">
        <v>87</v>
      </c>
      <c r="D21" s="9" t="s">
        <v>88</v>
      </c>
      <c r="E21" s="9" t="s">
        <v>89</v>
      </c>
      <c r="F21" s="9" t="s">
        <v>0</v>
      </c>
      <c r="G21" s="9" t="s">
        <v>87</v>
      </c>
      <c r="H21" s="9" t="s">
        <v>90</v>
      </c>
      <c r="I21" s="9" t="s">
        <v>91</v>
      </c>
      <c r="J21" s="9" t="s">
        <v>27</v>
      </c>
      <c r="K21" s="9" t="s">
        <v>0</v>
      </c>
      <c r="L21" s="10">
        <f>B21*K21</f>
      </c>
    </row>
    <row r="22" spans="1:12" x14ac:dyDescent="0.25">
      <c r="A22" s="8">
        <f>ROW()-6</f>
      </c>
      <c r="B22" s="9">
        <v>4</v>
      </c>
      <c r="C22" s="9" t="s">
        <v>92</v>
      </c>
      <c r="D22" s="9" t="s">
        <v>93</v>
      </c>
      <c r="E22" s="9" t="s">
        <v>94</v>
      </c>
      <c r="F22" s="9" t="s">
        <v>0</v>
      </c>
      <c r="G22" s="9" t="s">
        <v>92</v>
      </c>
      <c r="H22" s="9" t="s">
        <v>95</v>
      </c>
      <c r="I22" s="9" t="s">
        <v>96</v>
      </c>
      <c r="J22" s="9" t="s">
        <v>27</v>
      </c>
      <c r="K22" s="9" t="s">
        <v>0</v>
      </c>
      <c r="L22" s="10">
        <f>B22*K22</f>
      </c>
    </row>
    <row r="23" spans="1:12" x14ac:dyDescent="0.25">
      <c r="A23" s="8">
        <f>ROW()-6</f>
      </c>
      <c r="B23" s="9">
        <v>3</v>
      </c>
      <c r="C23" s="9" t="s">
        <v>97</v>
      </c>
      <c r="D23" s="9" t="s">
        <v>98</v>
      </c>
      <c r="E23" s="9" t="s">
        <v>99</v>
      </c>
      <c r="F23" s="9" t="s">
        <v>0</v>
      </c>
      <c r="G23" s="9" t="s">
        <v>97</v>
      </c>
      <c r="H23" s="9" t="s">
        <v>95</v>
      </c>
      <c r="I23" s="9" t="s">
        <v>100</v>
      </c>
      <c r="J23" s="9" t="s">
        <v>27</v>
      </c>
      <c r="K23" s="9" t="s">
        <v>0</v>
      </c>
      <c r="L23" s="10">
        <f>B23*K23</f>
      </c>
    </row>
    <row r="24" spans="1:12" x14ac:dyDescent="0.25">
      <c r="A24" s="8">
        <f>ROW()-6</f>
      </c>
      <c r="B24" s="9">
        <v>1</v>
      </c>
      <c r="C24" s="9" t="s">
        <v>101</v>
      </c>
      <c r="D24" s="9" t="s">
        <v>102</v>
      </c>
      <c r="E24" s="9" t="s">
        <v>103</v>
      </c>
      <c r="F24" s="9" t="s">
        <v>101</v>
      </c>
      <c r="G24" s="9" t="s">
        <v>104</v>
      </c>
      <c r="H24" s="9" t="s">
        <v>105</v>
      </c>
      <c r="I24" s="9" t="s">
        <v>106</v>
      </c>
      <c r="J24" s="9" t="s">
        <v>27</v>
      </c>
      <c r="K24" s="9" t="s">
        <v>0</v>
      </c>
      <c r="L24" s="10">
        <f>B24*K24</f>
      </c>
    </row>
    <row r="25" spans="1:12" x14ac:dyDescent="0.25">
      <c r="A25" s="8">
        <f>ROW()-6</f>
      </c>
      <c r="B25" s="9">
        <v>3</v>
      </c>
      <c r="C25" s="9" t="s">
        <v>107</v>
      </c>
      <c r="D25" s="9" t="s">
        <v>108</v>
      </c>
      <c r="E25" s="9" t="s">
        <v>109</v>
      </c>
      <c r="F25" s="9" t="s">
        <v>0</v>
      </c>
      <c r="G25" s="9" t="s">
        <v>107</v>
      </c>
      <c r="H25" s="9" t="s">
        <v>110</v>
      </c>
      <c r="I25" s="9" t="s">
        <v>111</v>
      </c>
      <c r="J25" s="9" t="s">
        <v>27</v>
      </c>
      <c r="K25" s="9" t="s">
        <v>0</v>
      </c>
      <c r="L25" s="10">
        <f>B25*K25</f>
      </c>
    </row>
    <row r="26" spans="1:12" x14ac:dyDescent="0.25">
      <c r="A26" s="8">
        <f>ROW()-6</f>
      </c>
      <c r="B26" s="9">
        <v>3</v>
      </c>
      <c r="C26" s="9" t="s">
        <v>112</v>
      </c>
      <c r="D26" s="9" t="s">
        <v>113</v>
      </c>
      <c r="E26" s="9" t="s">
        <v>114</v>
      </c>
      <c r="F26" s="9" t="s">
        <v>112</v>
      </c>
      <c r="G26" s="9" t="s">
        <v>115</v>
      </c>
      <c r="H26" s="9" t="s">
        <v>116</v>
      </c>
      <c r="I26" s="9" t="s">
        <v>117</v>
      </c>
      <c r="J26" s="9" t="s">
        <v>27</v>
      </c>
      <c r="K26" s="9" t="s">
        <v>0</v>
      </c>
      <c r="L26" s="10">
        <f>B26*K26</f>
      </c>
    </row>
    <row r="27" spans="1:12" x14ac:dyDescent="0.25">
      <c r="A27" s="8">
        <f>ROW()-6</f>
      </c>
      <c r="B27" s="9">
        <v>2</v>
      </c>
      <c r="C27" s="9" t="s">
        <v>118</v>
      </c>
      <c r="D27" s="9" t="s">
        <v>119</v>
      </c>
      <c r="E27" s="9" t="s">
        <v>114</v>
      </c>
      <c r="F27" s="9" t="s">
        <v>118</v>
      </c>
      <c r="G27" s="9" t="s">
        <v>120</v>
      </c>
      <c r="H27" s="9" t="s">
        <v>54</v>
      </c>
      <c r="I27" s="9" t="s">
        <v>121</v>
      </c>
      <c r="J27" s="9" t="s">
        <v>27</v>
      </c>
      <c r="K27" s="9" t="s">
        <v>0</v>
      </c>
      <c r="L27" s="10">
        <f>B27*K27</f>
      </c>
    </row>
    <row r="28" spans="1:12" x14ac:dyDescent="0.25">
      <c r="A28" s="8">
        <f>ROW()-6</f>
      </c>
      <c r="B28" s="9">
        <v>12</v>
      </c>
      <c r="C28" s="9" t="s">
        <v>122</v>
      </c>
      <c r="D28" s="9" t="s">
        <v>123</v>
      </c>
      <c r="E28" s="9" t="s">
        <v>124</v>
      </c>
      <c r="F28" s="9" t="s">
        <v>122</v>
      </c>
      <c r="G28" s="9" t="s">
        <v>125</v>
      </c>
      <c r="H28" s="9" t="s">
        <v>41</v>
      </c>
      <c r="I28" s="9" t="s">
        <v>126</v>
      </c>
      <c r="J28" s="9" t="s">
        <v>27</v>
      </c>
      <c r="K28" s="9" t="s">
        <v>0</v>
      </c>
      <c r="L28" s="10">
        <f>B28*K28</f>
      </c>
    </row>
    <row r="29" spans="1:12" x14ac:dyDescent="0.25">
      <c r="A29" s="8">
        <f>ROW()-6</f>
      </c>
      <c r="B29" s="9">
        <v>1</v>
      </c>
      <c r="C29" s="9" t="s">
        <v>127</v>
      </c>
      <c r="D29" s="9" t="s">
        <v>128</v>
      </c>
      <c r="E29" s="9" t="s">
        <v>124</v>
      </c>
      <c r="F29" s="9" t="s">
        <v>127</v>
      </c>
      <c r="G29" s="9" t="s">
        <v>129</v>
      </c>
      <c r="H29" s="9" t="s">
        <v>116</v>
      </c>
      <c r="I29" s="9" t="s">
        <v>130</v>
      </c>
      <c r="J29" s="9" t="s">
        <v>27</v>
      </c>
      <c r="K29" s="9" t="s">
        <v>0</v>
      </c>
      <c r="L29" s="10">
        <f>B29*K29</f>
      </c>
    </row>
    <row r="30" spans="1:12" x14ac:dyDescent="0.25">
      <c r="A30" s="8">
        <f>ROW()-6</f>
      </c>
      <c r="B30" s="9">
        <v>1</v>
      </c>
      <c r="C30" s="9" t="s">
        <v>131</v>
      </c>
      <c r="D30" s="9" t="s">
        <v>132</v>
      </c>
      <c r="E30" s="9" t="s">
        <v>124</v>
      </c>
      <c r="F30" s="9" t="s">
        <v>131</v>
      </c>
      <c r="G30" s="9" t="s">
        <v>133</v>
      </c>
      <c r="H30" s="9" t="s">
        <v>41</v>
      </c>
      <c r="I30" s="9" t="s">
        <v>134</v>
      </c>
      <c r="J30" s="9" t="s">
        <v>27</v>
      </c>
      <c r="K30" s="9" t="s">
        <v>0</v>
      </c>
      <c r="L30" s="10">
        <f>B30*K30</f>
      </c>
    </row>
    <row r="31" spans="1:12" x14ac:dyDescent="0.25">
      <c r="A31" s="8">
        <f>ROW()-6</f>
      </c>
      <c r="B31" s="9">
        <v>2</v>
      </c>
      <c r="C31" s="9" t="s">
        <v>135</v>
      </c>
      <c r="D31" s="9" t="s">
        <v>136</v>
      </c>
      <c r="E31" s="9" t="s">
        <v>124</v>
      </c>
      <c r="F31" s="9" t="s">
        <v>135</v>
      </c>
      <c r="G31" s="9" t="s">
        <v>137</v>
      </c>
      <c r="H31" s="9" t="s">
        <v>41</v>
      </c>
      <c r="I31" s="9" t="s">
        <v>138</v>
      </c>
      <c r="J31" s="9" t="s">
        <v>27</v>
      </c>
      <c r="K31" s="9" t="s">
        <v>0</v>
      </c>
      <c r="L31" s="10">
        <f>B31*K31</f>
      </c>
    </row>
    <row r="32" spans="1:12" x14ac:dyDescent="0.25">
      <c r="A32" s="8">
        <f>ROW()-6</f>
      </c>
      <c r="B32" s="9">
        <v>1</v>
      </c>
      <c r="C32" s="9" t="s">
        <v>139</v>
      </c>
      <c r="D32" s="9" t="s">
        <v>140</v>
      </c>
      <c r="E32" s="9" t="s">
        <v>124</v>
      </c>
      <c r="F32" s="9" t="s">
        <v>139</v>
      </c>
      <c r="G32" s="9" t="s">
        <v>141</v>
      </c>
      <c r="H32" s="9" t="s">
        <v>41</v>
      </c>
      <c r="I32" s="9" t="s">
        <v>142</v>
      </c>
      <c r="J32" s="9" t="s">
        <v>27</v>
      </c>
      <c r="K32" s="9" t="s">
        <v>0</v>
      </c>
      <c r="L32" s="10">
        <f>B32*K32</f>
      </c>
    </row>
    <row r="33" spans="1:12" x14ac:dyDescent="0.25">
      <c r="A33" s="8">
        <f>ROW()-6</f>
      </c>
      <c r="B33" s="9">
        <v>1</v>
      </c>
      <c r="C33" s="9" t="s">
        <v>143</v>
      </c>
      <c r="D33" s="9" t="s">
        <v>144</v>
      </c>
      <c r="E33" s="9" t="s">
        <v>124</v>
      </c>
      <c r="F33" s="9" t="s">
        <v>143</v>
      </c>
      <c r="G33" s="9" t="s">
        <v>145</v>
      </c>
      <c r="H33" s="9" t="s">
        <v>41</v>
      </c>
      <c r="I33" s="9" t="s">
        <v>146</v>
      </c>
      <c r="J33" s="9" t="s">
        <v>27</v>
      </c>
      <c r="K33" s="9" t="s">
        <v>0</v>
      </c>
      <c r="L33" s="10">
        <f>B33*K33</f>
      </c>
    </row>
    <row r="34" spans="1:12" x14ac:dyDescent="0.25">
      <c r="A34" s="8">
        <f>ROW()-6</f>
      </c>
      <c r="B34" s="9">
        <v>1</v>
      </c>
      <c r="C34" s="9" t="s">
        <v>147</v>
      </c>
      <c r="D34" s="9" t="s">
        <v>148</v>
      </c>
      <c r="E34" s="9" t="s">
        <v>124</v>
      </c>
      <c r="F34" s="9" t="s">
        <v>147</v>
      </c>
      <c r="G34" s="9" t="s">
        <v>149</v>
      </c>
      <c r="H34" s="9" t="s">
        <v>116</v>
      </c>
      <c r="I34" s="9" t="s">
        <v>150</v>
      </c>
      <c r="J34" s="9" t="s">
        <v>27</v>
      </c>
      <c r="K34" s="9" t="s">
        <v>0</v>
      </c>
      <c r="L34" s="10">
        <f>B34*K34</f>
      </c>
    </row>
    <row r="35" spans="1:12" x14ac:dyDescent="0.25">
      <c r="A35" s="8">
        <f>ROW()-6</f>
      </c>
      <c r="B35" s="9">
        <v>1</v>
      </c>
      <c r="C35" s="9" t="s">
        <v>151</v>
      </c>
      <c r="D35" s="9" t="s">
        <v>152</v>
      </c>
      <c r="E35" s="9" t="s">
        <v>124</v>
      </c>
      <c r="F35" s="9" t="s">
        <v>151</v>
      </c>
      <c r="G35" s="9" t="s">
        <v>153</v>
      </c>
      <c r="H35" s="9" t="s">
        <v>116</v>
      </c>
      <c r="I35" s="9" t="s">
        <v>154</v>
      </c>
      <c r="J35" s="9" t="s">
        <v>27</v>
      </c>
      <c r="K35" s="9" t="s">
        <v>0</v>
      </c>
      <c r="L35" s="10">
        <f>B35*K35</f>
      </c>
    </row>
    <row r="36" spans="1:12" x14ac:dyDescent="0.25">
      <c r="A36" s="8">
        <f>ROW()-6</f>
      </c>
      <c r="B36" s="9">
        <v>10</v>
      </c>
      <c r="C36" s="9" t="s">
        <v>112</v>
      </c>
      <c r="D36" s="9" t="s">
        <v>155</v>
      </c>
      <c r="E36" s="9" t="s">
        <v>156</v>
      </c>
      <c r="F36" s="9" t="s">
        <v>112</v>
      </c>
      <c r="G36" s="9" t="s">
        <v>115</v>
      </c>
      <c r="H36" s="9" t="s">
        <v>116</v>
      </c>
      <c r="I36" s="9" t="s">
        <v>117</v>
      </c>
      <c r="J36" s="9" t="s">
        <v>27</v>
      </c>
      <c r="K36" s="9" t="s">
        <v>0</v>
      </c>
      <c r="L36" s="10">
        <f>B36*K36</f>
      </c>
    </row>
    <row r="37" spans="1:12" x14ac:dyDescent="0.25">
      <c r="A37" s="8">
        <f>ROW()-6</f>
      </c>
      <c r="B37" s="9">
        <v>1</v>
      </c>
      <c r="C37" s="9" t="s">
        <v>157</v>
      </c>
      <c r="D37" s="9" t="s">
        <v>158</v>
      </c>
      <c r="E37" s="9" t="s">
        <v>159</v>
      </c>
      <c r="F37" s="9" t="s">
        <v>157</v>
      </c>
      <c r="G37" s="9" t="s">
        <v>160</v>
      </c>
      <c r="H37" s="9" t="s">
        <v>116</v>
      </c>
      <c r="I37" s="9" t="s">
        <v>161</v>
      </c>
      <c r="J37" s="9" t="s">
        <v>27</v>
      </c>
      <c r="K37" s="9" t="s">
        <v>0</v>
      </c>
      <c r="L37" s="10">
        <f>B37*K37</f>
      </c>
    </row>
    <row r="38" spans="1:12" x14ac:dyDescent="0.25">
      <c r="A38" s="8">
        <f>ROW()-6</f>
      </c>
      <c r="B38" s="9">
        <v>3</v>
      </c>
      <c r="C38" s="9" t="s">
        <v>162</v>
      </c>
      <c r="D38" s="9" t="s">
        <v>163</v>
      </c>
      <c r="E38" s="9" t="s">
        <v>114</v>
      </c>
      <c r="F38" s="9" t="s">
        <v>162</v>
      </c>
      <c r="G38" s="9" t="s">
        <v>164</v>
      </c>
      <c r="H38" s="9" t="s">
        <v>116</v>
      </c>
      <c r="I38" s="9" t="s">
        <v>165</v>
      </c>
      <c r="J38" s="9" t="s">
        <v>27</v>
      </c>
      <c r="K38" s="9" t="s">
        <v>0</v>
      </c>
      <c r="L38" s="10">
        <f>B38*K38</f>
      </c>
    </row>
    <row r="39" spans="1:12" x14ac:dyDescent="0.25">
      <c r="A39" s="8">
        <f>ROW()-6</f>
      </c>
      <c r="B39" s="9">
        <v>3</v>
      </c>
      <c r="C39" s="9" t="s">
        <v>112</v>
      </c>
      <c r="D39" s="9" t="s">
        <v>166</v>
      </c>
      <c r="E39" s="9" t="s">
        <v>124</v>
      </c>
      <c r="F39" s="9" t="s">
        <v>112</v>
      </c>
      <c r="G39" s="9" t="s">
        <v>167</v>
      </c>
      <c r="H39" s="9" t="s">
        <v>116</v>
      </c>
      <c r="I39" s="9" t="s">
        <v>168</v>
      </c>
      <c r="J39" s="9" t="s">
        <v>27</v>
      </c>
      <c r="K39" s="9" t="s">
        <v>0</v>
      </c>
      <c r="L39" s="10">
        <f>B39*K39</f>
      </c>
    </row>
    <row r="40" spans="1:12" x14ac:dyDescent="0.25">
      <c r="A40" s="8">
        <f>ROW()-6</f>
      </c>
      <c r="B40" s="9">
        <v>5</v>
      </c>
      <c r="C40" s="9" t="s">
        <v>118</v>
      </c>
      <c r="D40" s="9" t="s">
        <v>169</v>
      </c>
      <c r="E40" s="9" t="s">
        <v>124</v>
      </c>
      <c r="F40" s="9" t="s">
        <v>118</v>
      </c>
      <c r="G40" s="9" t="s">
        <v>170</v>
      </c>
      <c r="H40" s="9" t="s">
        <v>41</v>
      </c>
      <c r="I40" s="9" t="s">
        <v>171</v>
      </c>
      <c r="J40" s="9" t="s">
        <v>27</v>
      </c>
      <c r="K40" s="9" t="s">
        <v>0</v>
      </c>
      <c r="L40" s="10">
        <f>B40*K40</f>
      </c>
    </row>
    <row r="41" spans="1:12" x14ac:dyDescent="0.25">
      <c r="A41" s="8">
        <f>ROW()-6</f>
      </c>
      <c r="B41" s="9">
        <v>1</v>
      </c>
      <c r="C41" s="9" t="s">
        <v>172</v>
      </c>
      <c r="D41" s="9" t="s">
        <v>173</v>
      </c>
      <c r="E41" s="9" t="s">
        <v>124</v>
      </c>
      <c r="F41" s="9" t="s">
        <v>172</v>
      </c>
      <c r="G41" s="9" t="s">
        <v>174</v>
      </c>
      <c r="H41" s="9" t="s">
        <v>41</v>
      </c>
      <c r="I41" s="9" t="s">
        <v>175</v>
      </c>
      <c r="J41" s="9" t="s">
        <v>27</v>
      </c>
      <c r="K41" s="9" t="s">
        <v>0</v>
      </c>
      <c r="L41" s="10">
        <f>B41*K41</f>
      </c>
    </row>
    <row r="42" spans="1:12" x14ac:dyDescent="0.25">
      <c r="A42" s="8">
        <f>ROW()-6</f>
      </c>
      <c r="B42" s="9">
        <v>8</v>
      </c>
      <c r="C42" s="9" t="s">
        <v>122</v>
      </c>
      <c r="D42" s="9" t="s">
        <v>176</v>
      </c>
      <c r="E42" s="9" t="s">
        <v>114</v>
      </c>
      <c r="F42" s="9" t="s">
        <v>122</v>
      </c>
      <c r="G42" s="9" t="s">
        <v>177</v>
      </c>
      <c r="H42" s="9" t="s">
        <v>54</v>
      </c>
      <c r="I42" s="9" t="s">
        <v>178</v>
      </c>
      <c r="J42" s="9" t="s">
        <v>27</v>
      </c>
      <c r="K42" s="9" t="s">
        <v>0</v>
      </c>
      <c r="L42" s="10">
        <f>B42*K42</f>
      </c>
    </row>
    <row r="43" spans="1:12" x14ac:dyDescent="0.25">
      <c r="A43" s="8">
        <f>ROW()-6</f>
      </c>
      <c r="B43" s="9">
        <v>1</v>
      </c>
      <c r="C43" s="9" t="s">
        <v>179</v>
      </c>
      <c r="D43" s="9" t="s">
        <v>180</v>
      </c>
      <c r="E43" s="9" t="s">
        <v>124</v>
      </c>
      <c r="F43" s="9" t="s">
        <v>179</v>
      </c>
      <c r="G43" s="9" t="s">
        <v>181</v>
      </c>
      <c r="H43" s="9" t="s">
        <v>116</v>
      </c>
      <c r="I43" s="9" t="s">
        <v>182</v>
      </c>
      <c r="J43" s="9" t="s">
        <v>27</v>
      </c>
      <c r="K43" s="9" t="s">
        <v>0</v>
      </c>
      <c r="L43" s="10">
        <f>B43*K43</f>
      </c>
    </row>
    <row r="44" spans="1:12" x14ac:dyDescent="0.25">
      <c r="A44" s="8">
        <f>ROW()-6</f>
      </c>
      <c r="B44" s="9">
        <v>1</v>
      </c>
      <c r="C44" s="9" t="s">
        <v>122</v>
      </c>
      <c r="D44" s="9" t="s">
        <v>183</v>
      </c>
      <c r="E44" s="9" t="s">
        <v>159</v>
      </c>
      <c r="F44" s="9" t="s">
        <v>122</v>
      </c>
      <c r="G44" s="9" t="s">
        <v>177</v>
      </c>
      <c r="H44" s="9" t="s">
        <v>54</v>
      </c>
      <c r="I44" s="9" t="s">
        <v>178</v>
      </c>
      <c r="J44" s="9" t="s">
        <v>27</v>
      </c>
      <c r="K44" s="9" t="s">
        <v>0</v>
      </c>
      <c r="L44" s="10">
        <f>B44*K44</f>
      </c>
    </row>
    <row r="45" spans="1:12" x14ac:dyDescent="0.25">
      <c r="A45" s="8">
        <f>ROW()-6</f>
      </c>
      <c r="B45" s="9">
        <v>1</v>
      </c>
      <c r="C45" s="9" t="s">
        <v>184</v>
      </c>
      <c r="D45" s="9" t="s">
        <v>185</v>
      </c>
      <c r="E45" s="9" t="s">
        <v>124</v>
      </c>
      <c r="F45" s="9" t="s">
        <v>184</v>
      </c>
      <c r="G45" s="9" t="s">
        <v>186</v>
      </c>
      <c r="H45" s="9" t="s">
        <v>187</v>
      </c>
      <c r="I45" s="9" t="s">
        <v>188</v>
      </c>
      <c r="J45" s="9" t="s">
        <v>27</v>
      </c>
      <c r="K45" s="9" t="s">
        <v>0</v>
      </c>
      <c r="L45" s="10">
        <f>B45*K45</f>
      </c>
    </row>
    <row r="46" spans="1:12" x14ac:dyDescent="0.25">
      <c r="A46" s="8">
        <f>ROW()-6</f>
      </c>
      <c r="B46" s="9">
        <v>3</v>
      </c>
      <c r="C46" s="9" t="s">
        <v>118</v>
      </c>
      <c r="D46" s="9" t="s">
        <v>189</v>
      </c>
      <c r="E46" s="9" t="s">
        <v>159</v>
      </c>
      <c r="F46" s="9" t="s">
        <v>118</v>
      </c>
      <c r="G46" s="9" t="s">
        <v>120</v>
      </c>
      <c r="H46" s="9" t="s">
        <v>54</v>
      </c>
      <c r="I46" s="9" t="s">
        <v>121</v>
      </c>
      <c r="J46" s="9" t="s">
        <v>27</v>
      </c>
      <c r="K46" s="9" t="s">
        <v>0</v>
      </c>
      <c r="L46" s="10">
        <f>B46*K46</f>
      </c>
    </row>
    <row r="47" spans="1:12" x14ac:dyDescent="0.25">
      <c r="A47" s="8">
        <f>ROW()-6</f>
      </c>
      <c r="B47" s="9">
        <v>1</v>
      </c>
      <c r="C47" s="9" t="s">
        <v>190</v>
      </c>
      <c r="D47" s="9" t="s">
        <v>191</v>
      </c>
      <c r="E47" s="9" t="s">
        <v>114</v>
      </c>
      <c r="F47" s="9" t="s">
        <v>190</v>
      </c>
      <c r="G47" s="9" t="s">
        <v>192</v>
      </c>
      <c r="H47" s="9" t="s">
        <v>41</v>
      </c>
      <c r="I47" s="9" t="s">
        <v>193</v>
      </c>
      <c r="J47" s="9" t="s">
        <v>27</v>
      </c>
      <c r="K47" s="9" t="s">
        <v>0</v>
      </c>
      <c r="L47" s="10">
        <f>B47*K47</f>
      </c>
    </row>
    <row r="48" spans="1:12" x14ac:dyDescent="0.25">
      <c r="A48" s="8">
        <f>ROW()-6</f>
      </c>
      <c r="B48" s="9">
        <v>1</v>
      </c>
      <c r="C48" s="9" t="s">
        <v>190</v>
      </c>
      <c r="D48" s="9" t="s">
        <v>194</v>
      </c>
      <c r="E48" s="9" t="s">
        <v>159</v>
      </c>
      <c r="F48" s="9" t="s">
        <v>190</v>
      </c>
      <c r="G48" s="9" t="s">
        <v>192</v>
      </c>
      <c r="H48" s="9" t="s">
        <v>41</v>
      </c>
      <c r="I48" s="9" t="s">
        <v>193</v>
      </c>
      <c r="J48" s="9" t="s">
        <v>27</v>
      </c>
      <c r="K48" s="9" t="s">
        <v>0</v>
      </c>
      <c r="L48" s="10">
        <f>B48*K48</f>
      </c>
    </row>
    <row r="49" spans="1:12" x14ac:dyDescent="0.25">
      <c r="A49" s="8">
        <f>ROW()-6</f>
      </c>
      <c r="B49" s="9">
        <v>1</v>
      </c>
      <c r="C49" s="9" t="s">
        <v>195</v>
      </c>
      <c r="D49" s="9" t="s">
        <v>196</v>
      </c>
      <c r="E49" s="9" t="s">
        <v>156</v>
      </c>
      <c r="F49" s="9" t="s">
        <v>195</v>
      </c>
      <c r="G49" s="9" t="s">
        <v>197</v>
      </c>
      <c r="H49" s="9" t="s">
        <v>41</v>
      </c>
      <c r="I49" s="9" t="s">
        <v>198</v>
      </c>
      <c r="J49" s="9" t="s">
        <v>27</v>
      </c>
      <c r="K49" s="9" t="s">
        <v>0</v>
      </c>
      <c r="L49" s="10">
        <f>B49*K49</f>
      </c>
    </row>
    <row r="50" spans="1:12" x14ac:dyDescent="0.25">
      <c r="A50" s="8">
        <f>ROW()-6</f>
      </c>
      <c r="B50" s="9">
        <v>1</v>
      </c>
      <c r="C50" s="9" t="s">
        <v>199</v>
      </c>
      <c r="D50" s="9" t="s">
        <v>200</v>
      </c>
      <c r="E50" s="9" t="s">
        <v>156</v>
      </c>
      <c r="F50" s="9" t="s">
        <v>199</v>
      </c>
      <c r="G50" s="9" t="s">
        <v>201</v>
      </c>
      <c r="H50" s="9" t="s">
        <v>41</v>
      </c>
      <c r="I50" s="9" t="s">
        <v>202</v>
      </c>
      <c r="J50" s="9" t="s">
        <v>27</v>
      </c>
      <c r="K50" s="9" t="s">
        <v>0</v>
      </c>
      <c r="L50" s="10">
        <f>B50*K50</f>
      </c>
    </row>
    <row r="51" spans="1:12" x14ac:dyDescent="0.25">
      <c r="A51" s="8">
        <f>ROW()-6</f>
      </c>
      <c r="B51" s="9">
        <v>1</v>
      </c>
      <c r="C51" s="9" t="s">
        <v>203</v>
      </c>
      <c r="D51" s="9" t="s">
        <v>204</v>
      </c>
      <c r="E51" s="9" t="s">
        <v>156</v>
      </c>
      <c r="F51" s="9" t="s">
        <v>203</v>
      </c>
      <c r="G51" s="9" t="s">
        <v>205</v>
      </c>
      <c r="H51" s="9" t="s">
        <v>41</v>
      </c>
      <c r="I51" s="9" t="s">
        <v>206</v>
      </c>
      <c r="J51" s="9" t="s">
        <v>27</v>
      </c>
      <c r="K51" s="9" t="s">
        <v>0</v>
      </c>
      <c r="L51" s="10">
        <f>B51*K51</f>
      </c>
    </row>
    <row r="52" spans="1:12" x14ac:dyDescent="0.25">
      <c r="A52" s="8">
        <f>ROW()-6</f>
      </c>
      <c r="B52" s="9">
        <v>2</v>
      </c>
      <c r="C52" s="9" t="s">
        <v>207</v>
      </c>
      <c r="D52" s="9" t="s">
        <v>208</v>
      </c>
      <c r="E52" s="9" t="s">
        <v>124</v>
      </c>
      <c r="F52" s="9" t="s">
        <v>207</v>
      </c>
      <c r="G52" s="9" t="s">
        <v>209</v>
      </c>
      <c r="H52" s="9" t="s">
        <v>41</v>
      </c>
      <c r="I52" s="9" t="s">
        <v>210</v>
      </c>
      <c r="J52" s="9" t="s">
        <v>27</v>
      </c>
      <c r="K52" s="9" t="s">
        <v>0</v>
      </c>
      <c r="L52" s="10">
        <f>B52*K52</f>
      </c>
    </row>
    <row r="53" spans="1:12" x14ac:dyDescent="0.25">
      <c r="A53" s="8">
        <f>ROW()-6</f>
      </c>
      <c r="B53" s="9">
        <v>2</v>
      </c>
      <c r="C53" s="9" t="s">
        <v>211</v>
      </c>
      <c r="D53" s="9" t="s">
        <v>212</v>
      </c>
      <c r="E53" s="9" t="s">
        <v>124</v>
      </c>
      <c r="F53" s="9" t="s">
        <v>211</v>
      </c>
      <c r="G53" s="9" t="s">
        <v>213</v>
      </c>
      <c r="H53" s="9" t="s">
        <v>116</v>
      </c>
      <c r="I53" s="9" t="s">
        <v>214</v>
      </c>
      <c r="J53" s="9" t="s">
        <v>27</v>
      </c>
      <c r="K53" s="9" t="s">
        <v>0</v>
      </c>
      <c r="L53" s="10">
        <f>B53*K53</f>
      </c>
    </row>
    <row r="54" spans="1:12" x14ac:dyDescent="0.25">
      <c r="A54" s="8">
        <f>ROW()-6</f>
      </c>
      <c r="B54" s="9">
        <v>1</v>
      </c>
      <c r="C54" s="9" t="s">
        <v>215</v>
      </c>
      <c r="D54" s="9" t="s">
        <v>216</v>
      </c>
      <c r="E54" s="9" t="s">
        <v>124</v>
      </c>
      <c r="F54" s="9" t="s">
        <v>215</v>
      </c>
      <c r="G54" s="9" t="s">
        <v>217</v>
      </c>
      <c r="H54" s="9" t="s">
        <v>116</v>
      </c>
      <c r="I54" s="9" t="s">
        <v>218</v>
      </c>
      <c r="J54" s="9" t="s">
        <v>27</v>
      </c>
      <c r="K54" s="9" t="s">
        <v>0</v>
      </c>
      <c r="L54" s="10">
        <f>B54*K54</f>
      </c>
    </row>
    <row r="55" spans="1:12" x14ac:dyDescent="0.25">
      <c r="A55" s="8">
        <f>ROW()-6</f>
      </c>
      <c r="B55" s="9">
        <v>1</v>
      </c>
      <c r="C55" s="9" t="s">
        <v>203</v>
      </c>
      <c r="D55" s="9" t="s">
        <v>219</v>
      </c>
      <c r="E55" s="9" t="s">
        <v>124</v>
      </c>
      <c r="F55" s="9" t="s">
        <v>203</v>
      </c>
      <c r="G55" s="9" t="s">
        <v>220</v>
      </c>
      <c r="H55" s="9" t="s">
        <v>116</v>
      </c>
      <c r="I55" s="9" t="s">
        <v>221</v>
      </c>
      <c r="J55" s="9" t="s">
        <v>27</v>
      </c>
      <c r="K55" s="9" t="s">
        <v>0</v>
      </c>
      <c r="L55" s="10">
        <f>B55*K55</f>
      </c>
    </row>
    <row r="56" spans="1:12" x14ac:dyDescent="0.25">
      <c r="A56" s="8">
        <f>ROW()-6</f>
      </c>
      <c r="B56" s="9">
        <v>1</v>
      </c>
      <c r="C56" s="9" t="s">
        <v>222</v>
      </c>
      <c r="D56" s="9" t="s">
        <v>223</v>
      </c>
      <c r="E56" s="9" t="s">
        <v>224</v>
      </c>
      <c r="F56" s="9" t="s">
        <v>0</v>
      </c>
      <c r="G56" s="9" t="s">
        <v>222</v>
      </c>
      <c r="H56" s="9" t="s">
        <v>225</v>
      </c>
      <c r="I56" s="9" t="s">
        <v>226</v>
      </c>
      <c r="J56" s="9" t="s">
        <v>27</v>
      </c>
      <c r="K56" s="9" t="s">
        <v>0</v>
      </c>
      <c r="L56" s="10">
        <f>B56*K56</f>
      </c>
    </row>
    <row r="57" spans="1:12" x14ac:dyDescent="0.25">
      <c r="A57" s="8">
        <f>ROW()-6</f>
      </c>
      <c r="B57" s="9">
        <v>1</v>
      </c>
      <c r="C57" s="9" t="s">
        <v>227</v>
      </c>
      <c r="D57" s="9" t="s">
        <v>228</v>
      </c>
      <c r="E57" s="9" t="s">
        <v>229</v>
      </c>
      <c r="F57" s="9" t="s">
        <v>0</v>
      </c>
      <c r="G57" s="9" t="s">
        <v>227</v>
      </c>
      <c r="H57" s="9" t="s">
        <v>230</v>
      </c>
      <c r="I57" s="9" t="s">
        <v>231</v>
      </c>
      <c r="J57" s="9" t="s">
        <v>27</v>
      </c>
      <c r="K57" s="9" t="s">
        <v>0</v>
      </c>
      <c r="L57" s="10">
        <f>B57*K57</f>
      </c>
    </row>
    <row r="58" spans="1:12" x14ac:dyDescent="0.25">
      <c r="A58" s="8">
        <f>ROW()-6</f>
      </c>
      <c r="B58" s="9">
        <v>4</v>
      </c>
      <c r="C58" s="9" t="s">
        <v>232</v>
      </c>
      <c r="D58" s="9" t="s">
        <v>233</v>
      </c>
      <c r="E58" s="9" t="s">
        <v>234</v>
      </c>
      <c r="F58" s="9" t="s">
        <v>0</v>
      </c>
      <c r="G58" s="9" t="s">
        <v>232</v>
      </c>
      <c r="H58" s="9" t="s">
        <v>235</v>
      </c>
      <c r="I58" s="9" t="s">
        <v>236</v>
      </c>
      <c r="J58" s="9" t="s">
        <v>27</v>
      </c>
      <c r="K58" s="9" t="s">
        <v>0</v>
      </c>
      <c r="L58" s="10">
        <f>B58*K58</f>
      </c>
    </row>
    <row r="59" spans="1:12" x14ac:dyDescent="0.25">
      <c r="A59" s="8">
        <f>ROW()-6</f>
      </c>
      <c r="B59" s="9">
        <v>1</v>
      </c>
      <c r="C59" s="9" t="s">
        <v>237</v>
      </c>
      <c r="D59" s="9" t="s">
        <v>238</v>
      </c>
      <c r="E59" s="9" t="s">
        <v>239</v>
      </c>
      <c r="F59" s="9" t="s">
        <v>0</v>
      </c>
      <c r="G59" s="9" t="s">
        <v>237</v>
      </c>
      <c r="H59" s="9" t="s">
        <v>240</v>
      </c>
      <c r="I59" s="9" t="s">
        <v>241</v>
      </c>
      <c r="J59" s="9" t="s">
        <v>27</v>
      </c>
      <c r="K59" s="9" t="s">
        <v>0</v>
      </c>
      <c r="L59" s="10">
        <f>B59*K59</f>
      </c>
    </row>
    <row r="60" spans="1:12" x14ac:dyDescent="0.25">
      <c r="A60" s="8">
        <f>ROW()-6</f>
      </c>
      <c r="B60" s="9">
        <v>1</v>
      </c>
      <c r="C60" s="9" t="s">
        <v>242</v>
      </c>
      <c r="D60" s="9" t="s">
        <v>243</v>
      </c>
      <c r="E60" s="9" t="s">
        <v>244</v>
      </c>
      <c r="F60" s="9" t="s">
        <v>0</v>
      </c>
      <c r="G60" s="9" t="s">
        <v>0</v>
      </c>
      <c r="H60" s="9" t="s">
        <v>0</v>
      </c>
      <c r="I60" s="9" t="s">
        <v>0</v>
      </c>
      <c r="J60" s="9" t="s">
        <v>0</v>
      </c>
      <c r="K60" s="9" t="s">
        <v>0</v>
      </c>
      <c r="L60" s="10">
        <f>B60*K60</f>
      </c>
    </row>
    <row r="61" spans="1:12" x14ac:dyDescent="0.25">
      <c r="A61" s="8">
        <f>ROW()-6</f>
      </c>
      <c r="B61" s="9">
        <v>1</v>
      </c>
      <c r="C61" s="9" t="s">
        <v>245</v>
      </c>
      <c r="D61" s="9" t="s">
        <v>246</v>
      </c>
      <c r="E61" s="9" t="s">
        <v>247</v>
      </c>
      <c r="F61" s="9" t="s">
        <v>0</v>
      </c>
      <c r="G61" s="9" t="s">
        <v>245</v>
      </c>
      <c r="H61" s="9" t="s">
        <v>248</v>
      </c>
      <c r="I61" s="9" t="s">
        <v>249</v>
      </c>
      <c r="J61" s="9" t="s">
        <v>27</v>
      </c>
      <c r="K61" s="9" t="s">
        <v>0</v>
      </c>
      <c r="L61" s="10">
        <f>B61*K61</f>
      </c>
    </row>
    <row r="62" spans="1:12" x14ac:dyDescent="0.25">
      <c r="A62" s="8">
        <f>ROW()-6</f>
      </c>
      <c r="B62" s="9">
        <v>1</v>
      </c>
      <c r="C62" s="9" t="s">
        <v>250</v>
      </c>
      <c r="D62" s="9" t="s">
        <v>251</v>
      </c>
      <c r="E62" s="9" t="s">
        <v>252</v>
      </c>
      <c r="F62" s="9" t="s">
        <v>0</v>
      </c>
      <c r="G62" s="9" t="s">
        <v>250</v>
      </c>
      <c r="H62" s="9" t="s">
        <v>0</v>
      </c>
      <c r="I62" s="9" t="s">
        <v>253</v>
      </c>
      <c r="J62" s="9" t="s">
        <v>27</v>
      </c>
      <c r="K62" s="9" t="s">
        <v>0</v>
      </c>
      <c r="L62" s="10">
        <f>B62*K62</f>
      </c>
    </row>
    <row r="63" spans="1:12" x14ac:dyDescent="0.25">
      <c r="A63" s="8">
        <f>ROW()-6</f>
      </c>
      <c r="B63" s="9">
        <v>1</v>
      </c>
      <c r="C63" s="9" t="s">
        <v>254</v>
      </c>
      <c r="D63" s="9" t="s">
        <v>255</v>
      </c>
      <c r="E63" s="9" t="s">
        <v>256</v>
      </c>
      <c r="F63" s="9" t="s">
        <v>0</v>
      </c>
      <c r="G63" s="9" t="s">
        <v>254</v>
      </c>
      <c r="H63" s="9" t="s">
        <v>257</v>
      </c>
      <c r="I63" s="9" t="s">
        <v>258</v>
      </c>
      <c r="J63" s="9" t="s">
        <v>27</v>
      </c>
      <c r="K63" s="9" t="s">
        <v>0</v>
      </c>
      <c r="L63" s="10">
        <f>B63*K63</f>
      </c>
    </row>
    <row r="64" spans="1:12" x14ac:dyDescent="0.25">
      <c r="A64" s="8">
        <f>ROW()-6</f>
      </c>
      <c r="B64" s="9">
        <v>1</v>
      </c>
      <c r="C64" s="9" t="s">
        <v>259</v>
      </c>
      <c r="D64" s="9" t="s">
        <v>260</v>
      </c>
      <c r="E64" s="9" t="s">
        <v>261</v>
      </c>
      <c r="F64" s="9" t="s">
        <v>0</v>
      </c>
      <c r="G64" s="9" t="s">
        <v>259</v>
      </c>
      <c r="H64" s="9" t="s">
        <v>0</v>
      </c>
      <c r="I64" s="9" t="s">
        <v>262</v>
      </c>
      <c r="J64" s="9" t="s">
        <v>27</v>
      </c>
      <c r="K64" s="9" t="s">
        <v>0</v>
      </c>
      <c r="L64" s="10">
        <f>B64*K64</f>
      </c>
    </row>
    <row r="65" spans="1:12" x14ac:dyDescent="0.25">
      <c r="A65" s="8">
        <f>ROW()-6</f>
      </c>
      <c r="B65" s="9">
        <v>1</v>
      </c>
      <c r="C65" s="9" t="s">
        <v>263</v>
      </c>
      <c r="D65" s="9" t="s">
        <v>264</v>
      </c>
      <c r="E65" s="9" t="s">
        <v>265</v>
      </c>
      <c r="F65" s="9" t="s">
        <v>0</v>
      </c>
      <c r="G65" s="9" t="s">
        <v>263</v>
      </c>
      <c r="H65" s="9" t="s">
        <v>235</v>
      </c>
      <c r="I65" s="9" t="s">
        <v>266</v>
      </c>
      <c r="J65" s="9" t="s">
        <v>27</v>
      </c>
      <c r="K65" s="9" t="s">
        <v>0</v>
      </c>
      <c r="L65" s="10">
        <f>B65*K65</f>
      </c>
    </row>
    <row r="66" spans="1:12" x14ac:dyDescent="0.25">
      <c r="A66" s="8">
        <f>ROW()-6</f>
      </c>
      <c r="B66" s="9">
        <v>1</v>
      </c>
      <c r="C66" s="9" t="s">
        <v>267</v>
      </c>
      <c r="D66" s="9" t="s">
        <v>268</v>
      </c>
      <c r="E66" s="9" t="s">
        <v>269</v>
      </c>
      <c r="F66" s="9" t="s">
        <v>0</v>
      </c>
      <c r="G66" s="9" t="s">
        <v>267</v>
      </c>
      <c r="H66" s="9" t="s">
        <v>270</v>
      </c>
      <c r="I66" s="9" t="s">
        <v>271</v>
      </c>
      <c r="J66" s="9" t="s">
        <v>27</v>
      </c>
      <c r="K66" s="9" t="s">
        <v>0</v>
      </c>
      <c r="L66" s="10">
        <f>B66*K66</f>
      </c>
    </row>
    <row r="67" spans="1:12" x14ac:dyDescent="0.25">
      <c r="A67" s="8">
        <f>ROW()-6</f>
      </c>
      <c r="B67" s="9">
        <v>1</v>
      </c>
      <c r="C67" s="9" t="s">
        <v>272</v>
      </c>
      <c r="D67" s="9" t="s">
        <v>273</v>
      </c>
      <c r="E67" s="9" t="s">
        <v>274</v>
      </c>
      <c r="F67" s="9" t="s">
        <v>0</v>
      </c>
      <c r="G67" s="9" t="s">
        <v>272</v>
      </c>
      <c r="H67" s="9" t="s">
        <v>0</v>
      </c>
      <c r="I67" s="9" t="s">
        <v>275</v>
      </c>
      <c r="J67" s="9" t="s">
        <v>27</v>
      </c>
      <c r="K67" s="9" t="s">
        <v>0</v>
      </c>
      <c r="L67" s="10">
        <f>B67*K67</f>
      </c>
    </row>
    <row r="68" spans="1:12" x14ac:dyDescent="0.25">
      <c r="A68" s="8">
        <f>ROW()-6</f>
      </c>
      <c r="B68" s="9">
        <v>1</v>
      </c>
      <c r="C68" s="9" t="s">
        <v>276</v>
      </c>
      <c r="D68" s="9" t="s">
        <v>277</v>
      </c>
      <c r="E68" s="9" t="s">
        <v>278</v>
      </c>
      <c r="F68" s="9" t="s">
        <v>276</v>
      </c>
      <c r="G68" s="9" t="s">
        <v>279</v>
      </c>
      <c r="H68" s="9" t="s">
        <v>280</v>
      </c>
      <c r="I68" s="9" t="s">
        <v>281</v>
      </c>
      <c r="J68" s="9" t="s">
        <v>27</v>
      </c>
      <c r="K68" s="9" t="s">
        <v>0</v>
      </c>
      <c r="L68" s="10">
        <f>B68*K68</f>
      </c>
    </row>
    <row r="69" spans="1:12" x14ac:dyDescent="0.25">
      <c r="A69" s="8">
        <f>ROW()-6</f>
      </c>
      <c r="B69" s="9">
        <v>1</v>
      </c>
      <c r="C69" s="9" t="s">
        <v>282</v>
      </c>
      <c r="D69" s="9" t="s">
        <v>283</v>
      </c>
      <c r="E69" s="9" t="s">
        <v>284</v>
      </c>
      <c r="F69" s="9" t="s">
        <v>282</v>
      </c>
      <c r="G69" s="9" t="s">
        <v>285</v>
      </c>
      <c r="H69" s="9" t="s">
        <v>280</v>
      </c>
      <c r="I69" s="9" t="s">
        <v>286</v>
      </c>
      <c r="J69" s="9" t="s">
        <v>27</v>
      </c>
      <c r="K69" s="9" t="s">
        <v>0</v>
      </c>
      <c r="L69" s="10">
        <f>B69*K69</f>
      </c>
    </row>
    <row r="70" spans="1:12" x14ac:dyDescent="0.25">
      <c r="A70" s="8">
        <f>ROW()-6</f>
      </c>
      <c r="B70" s="11">
        <f>SUM(L7:L69)</f>
      </c>
      <c r="C70" s="11"/>
      <c r="D70" s="11"/>
      <c r="E70" s="11"/>
      <c r="F70" s="11"/>
      <c r="G70" s="11"/>
      <c r="H70" s="11"/>
      <c r="I70" s="11"/>
      <c r="J70" s="11"/>
      <c r="K70" s="11"/>
      <c r="L70" s="11"/>
    </row>
  </sheetData>
  <mergeCells count="4">
    <mergeCell ref="A1:D5"/>
    <mergeCell ref="E1:E2"/>
    <mergeCell ref="F1:F2"/>
    <mergeCell ref="B70:L7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287</v>
      </c>
      <c r="B1" s="6" t="s">
        <v>4</v>
      </c>
    </row>
    <row r="2" spans="1:2" x14ac:dyDescent="0.25">
      <c r="A2" s="6" t="s">
        <v>288</v>
      </c>
      <c r="B2" s="6" t="s">
        <v>289</v>
      </c>
    </row>
    <row r="3" spans="1:2" x14ac:dyDescent="0.25">
      <c r="A3" s="6" t="s">
        <v>290</v>
      </c>
      <c r="B3" s="6" t="s">
        <v>291</v>
      </c>
    </row>
    <row r="4" spans="1:2" x14ac:dyDescent="0.25">
      <c r="A4" s="6" t="s">
        <v>292</v>
      </c>
      <c r="B4" s="6" t="s">
        <v>6</v>
      </c>
    </row>
    <row r="5" spans="1:2" x14ac:dyDescent="0.25">
      <c r="A5" s="6" t="s">
        <v>293</v>
      </c>
      <c r="B5" s="6" t="s">
        <v>6</v>
      </c>
    </row>
    <row r="6" spans="1:2" x14ac:dyDescent="0.25">
      <c r="A6" s="6" t="s">
        <v>294</v>
      </c>
      <c r="B6" s="6">
        <v>223</v>
      </c>
    </row>
    <row r="7" spans="1:2" x14ac:dyDescent="0.25">
      <c r="A7" s="6" t="s">
        <v>295</v>
      </c>
      <c r="B7" s="6" t="s">
        <v>296</v>
      </c>
    </row>
    <row r="8" spans="1:2" x14ac:dyDescent="0.25">
      <c r="A8" s="6" t="s">
        <v>297</v>
      </c>
      <c r="B8" s="6" t="s">
        <v>298</v>
      </c>
    </row>
    <row r="9" spans="1:2" x14ac:dyDescent="0.25">
      <c r="A9" s="6" t="s">
        <v>299</v>
      </c>
      <c r="B9" s="6" t="s">
        <v>8</v>
      </c>
    </row>
    <row r="10" spans="1:2" x14ac:dyDescent="0.25">
      <c r="A10" s="6" t="s">
        <v>300</v>
      </c>
      <c r="B10" s="6" t="s">
        <v>2</v>
      </c>
    </row>
    <row r="11" spans="1:2" x14ac:dyDescent="0.25">
      <c r="A11" s="6" t="s">
        <v>301</v>
      </c>
      <c r="B11" s="6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2026-02-03T14:15:10Z</dcterms:modified>
</cp:coreProperties>
</file>